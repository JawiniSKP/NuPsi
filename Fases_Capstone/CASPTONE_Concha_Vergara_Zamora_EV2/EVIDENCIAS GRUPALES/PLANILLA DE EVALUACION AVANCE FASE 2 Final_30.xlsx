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4\Grupo 2 NUPSI\Evidencias grupales\"/>
    </mc:Choice>
  </mc:AlternateContent>
  <xr:revisionPtr revIDLastSave="0" documentId="13_ncr:1_{77AEF3A4-D2E3-42B9-A73D-C0F55DC21E65}"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D16" i="1"/>
  <c r="E16" i="1" s="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F16" i="1"/>
  <c r="G16" i="1" s="1"/>
  <c r="J15" i="1"/>
  <c r="K15" i="1" s="1"/>
  <c r="H15" i="1"/>
  <c r="I15" i="1" s="1"/>
  <c r="G15" i="1"/>
  <c r="J14" i="1"/>
  <c r="I14" i="1"/>
  <c r="F14" i="1"/>
  <c r="G14" i="1" s="1"/>
  <c r="E21" i="1" l="1"/>
  <c r="G21" i="1"/>
  <c r="I21" i="1"/>
  <c r="K14" i="1"/>
  <c r="K21" i="1" l="1"/>
  <c r="C21" i="1" s="1"/>
  <c r="C22" i="1" s="1"/>
  <c r="C6" i="1" l="1"/>
  <c r="C5" i="1"/>
  <c r="C4" i="1"/>
</calcChain>
</file>

<file path=xl/sharedStrings.xml><?xml version="1.0" encoding="utf-8"?>
<sst xmlns="http://schemas.openxmlformats.org/spreadsheetml/2006/main" count="89" uniqueCount="67">
  <si>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</si>
  <si>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</si>
  <si>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</si>
  <si>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</si>
  <si>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</si>
  <si>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</si>
  <si>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</si>
  <si>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</si>
  <si>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</si>
  <si>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</si>
  <si>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</si>
  <si>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</si>
  <si>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</si>
  <si>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</si>
  <si>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</si>
  <si>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</si>
  <si>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</si>
  <si>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</si>
  <si>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</si>
  <si>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</si>
  <si>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</si>
  <si>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</si>
  <si>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</si>
  <si>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</si>
  <si>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</si>
  <si>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</si>
  <si>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</si>
  <si>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</si>
  <si>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</si>
  <si>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</si>
  <si>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</si>
  <si>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</si>
  <si>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</si>
  <si>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</si>
  <si>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</si>
  <si>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</si>
  <si>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</si>
  <si>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</si>
  <si>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</si>
  <si>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</si>
  <si>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</si>
  <si>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</si>
  <si>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</si>
  <si>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</si>
  <si>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</si>
  <si>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</si>
  <si>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</si>
  <si>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</si>
  <si>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</si>
  <si>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</si>
  <si>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</si>
  <si>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</si>
  <si>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</si>
  <si>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</si>
  <si>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</si>
  <si>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</si>
  <si>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</si>
  <si>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</si>
  <si>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</si>
  <si>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</si>
  <si>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</si>
  <si>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</si>
  <si>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</si>
  <si>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</si>
  <si>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Javiera Concha</t>
  </si>
  <si>
    <t>Jisella Vergara</t>
  </si>
  <si>
    <t>Camilo Zamora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</si>
</sst>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F16" sqref="F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64</v>
      </c>
      <c r="C4" s="5">
        <f>EVALUACION2!$C$22</f>
        <v>6.4</v>
      </c>
      <c r="G4" s="1"/>
    </row>
    <row r="5" spans="1:11" x14ac:dyDescent="0.25">
      <c r="A5" s="4">
        <v>2</v>
      </c>
      <c r="B5" s="25" t="s">
        <v>65</v>
      </c>
      <c r="C5" s="5">
        <f>EVALUACION2!$C$22</f>
        <v>6.4</v>
      </c>
      <c r="G5" s="1"/>
    </row>
    <row r="6" spans="1:11" x14ac:dyDescent="0.25">
      <c r="A6" s="4">
        <v>3</v>
      </c>
      <c r="B6" s="25" t="s">
        <v>66</v>
      </c>
      <c r="C6" s="5">
        <f>EVALUACION2!$C$22</f>
        <v>6.4</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2"/>
      <c r="B16" s="28" t="str">
        <f>RUBRICA!A7</f>
        <v>4. Utiliza de manera precisa el lenguaje técnico en los entregables de acuerdo con lo requerido por la disciplina.</v>
      </c>
      <c r="C16" s="26" t="s">
        <v>5</v>
      </c>
      <c r="D16" s="15" t="str">
        <f t="shared" ref="D16:D17" si="4">IF($C16=CL,"X","")</f>
        <v>X</v>
      </c>
      <c r="E16" s="15">
        <f>IF(D16="X",100*0.05,"")</f>
        <v>5</v>
      </c>
      <c r="F16" s="15" t="str">
        <f t="shared" si="3"/>
        <v/>
      </c>
      <c r="G16" s="15" t="str">
        <f>IF(F16="X",60*0.05,"")</f>
        <v/>
      </c>
      <c r="H16" s="15" t="str">
        <f t="shared" si="0"/>
        <v/>
      </c>
      <c r="I16" s="15" t="str">
        <f>IF(H16="X",30*0.05,"")</f>
        <v/>
      </c>
      <c r="J16" s="15" t="str">
        <f t="shared" si="1"/>
        <v/>
      </c>
      <c r="K16" s="15" t="str">
        <f t="shared" si="2"/>
        <v/>
      </c>
    </row>
    <row r="17" spans="1:11" ht="24" outlineLevel="1" x14ac:dyDescent="0.25">
      <c r="A17" s="42"/>
      <c r="B17" s="28" t="str">
        <f>RUBRICA!A8</f>
        <v xml:space="preserve">5. Utiliza reglas de redacción, ortografía (literal, puntual, acentual) y las normas para citas y referencias. </v>
      </c>
      <c r="C17" s="26" t="s">
        <v>5</v>
      </c>
      <c r="D17" s="15" t="str">
        <f t="shared" si="4"/>
        <v>X</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92</v>
      </c>
      <c r="D21" s="16"/>
      <c r="E21" s="16">
        <f>SUM(E13:E20)</f>
        <v>80</v>
      </c>
      <c r="F21" s="16"/>
      <c r="G21" s="16">
        <f>SUM(G13:G20)</f>
        <v>12</v>
      </c>
      <c r="H21" s="16"/>
      <c r="I21" s="16">
        <f>SUM(I13:I20)</f>
        <v>0</v>
      </c>
      <c r="J21" s="16"/>
      <c r="K21" s="16">
        <f>SUM(K13:K20)</f>
        <v>0</v>
      </c>
    </row>
    <row r="22" spans="1:11" ht="15.75" customHeight="1" outlineLevel="1" x14ac:dyDescent="0.3">
      <c r="A22" s="43"/>
      <c r="B22" s="30" t="s">
        <v>13</v>
      </c>
      <c r="C22" s="17">
        <f>VLOOKUP(C21,ESCALA_IEP!A2:B202,2,FALSE)</f>
        <v>6.4</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2025-11-23T22:56:10Z</dcterms:modified>
</cp:coreProperties>
</file>